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BuÇalışmaKitabı"/>
  <mc:AlternateContent xmlns:mc="http://schemas.openxmlformats.org/markup-compatibility/2006">
    <mc:Choice Requires="x15">
      <x15ac:absPath xmlns:x15ac="http://schemas.microsoft.com/office/spreadsheetml/2010/11/ac" url="D:\Niğde Operasyon Liderliği\Üst Yönetim\Ferçim Raporlar\2026_09 Eylül\"/>
    </mc:Choice>
  </mc:AlternateContent>
  <xr:revisionPtr revIDLastSave="0" documentId="13_ncr:1_{488D4235-18EB-47BE-BE92-7709355CD147}" xr6:coauthVersionLast="47" xr6:coauthVersionMax="47" xr10:uidLastSave="{00000000-0000-0000-0000-000000000000}"/>
  <bookViews>
    <workbookView xWindow="3330" yWindow="1440" windowWidth="11955" windowHeight="9915" xr2:uid="{00000000-000D-0000-FFFF-FFFF00000000}"/>
  </bookViews>
  <sheets>
    <sheet name="24" sheetId="8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80" l="1"/>
  <c r="F8" i="80"/>
  <c r="C5" i="80"/>
  <c r="F15" i="80"/>
  <c r="F14" i="80"/>
  <c r="F13" i="80"/>
  <c r="F10" i="80"/>
  <c r="F9" i="80"/>
  <c r="F7" i="80"/>
  <c r="F6" i="80"/>
  <c r="E5" i="80"/>
  <c r="D5" i="80"/>
  <c r="F5" i="80" l="1"/>
</calcChain>
</file>

<file path=xl/sharedStrings.xml><?xml version="1.0" encoding="utf-8"?>
<sst xmlns="http://schemas.openxmlformats.org/spreadsheetml/2006/main" count="29" uniqueCount="20">
  <si>
    <t>Niğde Üretim ve Satış Bilgileri</t>
  </si>
  <si>
    <t>Dönem Başı Stok</t>
  </si>
  <si>
    <t>Dönem Sonu Stok</t>
  </si>
  <si>
    <t>Ürün</t>
  </si>
  <si>
    <t>ton</t>
  </si>
  <si>
    <t>Klinker</t>
  </si>
  <si>
    <t>Toplam Çimento</t>
  </si>
  <si>
    <t>CEM I 42,5 R</t>
  </si>
  <si>
    <t>CEM II / A-L 42,5 R</t>
  </si>
  <si>
    <t>CEM IV / B (P) 32,5 R</t>
  </si>
  <si>
    <t>Sarf</t>
  </si>
  <si>
    <t>Kömür</t>
  </si>
  <si>
    <t>Petrokok</t>
  </si>
  <si>
    <t>Linyit</t>
  </si>
  <si>
    <t>Yerli Kömür</t>
  </si>
  <si>
    <t>CEM I 42,5 R LA</t>
  </si>
  <si>
    <t>Satın Alınan</t>
  </si>
  <si>
    <t>CEM I SR5 42,5 R</t>
  </si>
  <si>
    <t>Üretim/Satınalınan</t>
  </si>
  <si>
    <t>Sevk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</si>
</sst>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3" borderId="0" xfId="0" applyFill="1"/>
    <xf numFmtId="4" fontId="0" fillId="3" borderId="0" xfId="0" applyNumberFormat="1" applyFill="1"/>
    <xf numFmtId="3" fontId="0" fillId="3" borderId="0" xfId="0" applyNumberFormat="1" applyFill="1"/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/>
    </xf>
    <xf numFmtId="14" fontId="0" fillId="0" borderId="15" xfId="0" applyNumberFormat="1" applyBorder="1" applyAlignment="1">
      <alignment horizontal="left"/>
    </xf>
    <xf numFmtId="14" fontId="0" fillId="0" borderId="16" xfId="0" applyNumberFormat="1" applyBorder="1" applyAlignment="1">
      <alignment horizontal="left"/>
    </xf>
    <xf numFmtId="14" fontId="0" fillId="0" borderId="17" xfId="0" applyNumberFormat="1" applyBorder="1" applyAlignment="1">
      <alignment horizontal="left"/>
    </xf>
    <xf numFmtId="14" fontId="1" fillId="2" borderId="18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0" fillId="0" borderId="19" xfId="0" applyNumberFormat="1" applyBorder="1" applyAlignment="1">
      <alignment horizontal="left"/>
    </xf>
    <xf numFmtId="14" fontId="0" fillId="0" borderId="20" xfId="0" applyNumberFormat="1" applyBorder="1" applyAlignment="1">
      <alignment horizontal="left"/>
    </xf>
    <xf numFmtId="3" fontId="0" fillId="0" borderId="21" xfId="0" applyNumberFormat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4" fontId="0" fillId="0" borderId="30" xfId="0" applyNumberFormat="1" applyBorder="1" applyAlignment="1">
      <alignment horizontal="left"/>
    </xf>
    <xf numFmtId="3" fontId="0" fillId="0" borderId="31" xfId="0" applyNumberFormat="1" applyBorder="1" applyAlignment="1">
      <alignment horizontal="center" vertical="center"/>
    </xf>
    <xf numFmtId="3" fontId="0" fillId="0" borderId="32" xfId="0" applyNumberFormat="1" applyBorder="1" applyAlignment="1">
      <alignment horizontal="center" vertical="center"/>
    </xf>
    <xf numFmtId="164" fontId="0" fillId="3" borderId="0" xfId="0" applyNumberFormat="1" applyFill="1"/>
    <xf numFmtId="2" fontId="0" fillId="3" borderId="0" xfId="0" applyNumberFormat="1" applyFill="1"/>
    <xf numFmtId="165" fontId="0" fillId="3" borderId="0" xfId="0" applyNumberFormat="1" applyFill="1"/>
    <xf numFmtId="0" fontId="1" fillId="2" borderId="1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14" fontId="1" fillId="0" borderId="14" xfId="0" applyNumberFormat="1" applyFont="1" applyBorder="1" applyAlignment="1">
      <alignment horizontal="left"/>
    </xf>
    <xf numFmtId="3" fontId="1" fillId="0" borderId="11" xfId="0" applyNumberFormat="1" applyFont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3" fontId="0" fillId="0" borderId="33" xfId="0" applyNumberFormat="1" applyBorder="1" applyAlignment="1">
      <alignment horizontal="center" vertical="center"/>
    </xf>
    <xf numFmtId="3" fontId="0" fillId="0" borderId="34" xfId="0" applyNumberFormat="1" applyBorder="1" applyAlignment="1">
      <alignment horizontal="center" vertical="center"/>
    </xf>
    <xf numFmtId="3" fontId="0" fillId="0" borderId="36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0" fontId="3" fillId="3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0</xdr:row>
      <xdr:rowOff>0</xdr:rowOff>
    </xdr:from>
    <xdr:to>
      <xdr:col>1</xdr:col>
      <xdr:colOff>1008063</xdr:colOff>
      <xdr:row>0</xdr:row>
      <xdr:rowOff>353515</xdr:rowOff>
    </xdr:to>
    <xdr:pic>
      <xdr:nvPicPr>
        <xdr:cNvPr id="2" name="x_Resim 2">
          <a:extLst>
            <a:ext uri="{FF2B5EF4-FFF2-40B4-BE49-F238E27FC236}">
              <a16:creationId xmlns:a16="http://schemas.microsoft.com/office/drawing/2014/main" id="{E1638AAD-B1D8-4381-8EBD-4AD8C3A26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0"/>
          <a:ext cx="976313" cy="353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9AEF-1509-4AD7-B749-1B144129B9F5}">
  <sheetPr>
    <pageSetUpPr fitToPage="1"/>
  </sheetPr>
  <dimension ref="A1:S99"/>
  <sheetViews>
    <sheetView tabSelected="1" zoomScaleNormal="100" workbookViewId="0">
      <selection activeCell="F11" sqref="F11"/>
    </sheetView>
  </sheetViews>
  <sheetFormatPr defaultColWidth="0" defaultRowHeight="0" customHeight="1" zeroHeight="1" x14ac:dyDescent="0.25"/>
  <cols>
    <col min="1" max="1" width="3.28515625" style="1" customWidth="1"/>
    <col min="2" max="2" width="20.5703125" style="1" bestFit="1" customWidth="1"/>
    <col min="3" max="3" width="17.28515625" style="1" customWidth="1"/>
    <col min="4" max="4" width="18.28515625" style="1" bestFit="1" customWidth="1"/>
    <col min="5" max="6" width="17.28515625" style="1" customWidth="1"/>
    <col min="7" max="7" width="3.28515625" style="1" customWidth="1"/>
    <col min="8" max="8" width="11.140625" style="1" bestFit="1" customWidth="1"/>
    <col min="9" max="9" width="12" style="1" bestFit="1" customWidth="1"/>
    <col min="10" max="10" width="11.140625" style="1" bestFit="1" customWidth="1"/>
    <col min="11" max="11" width="12" style="1" bestFit="1" customWidth="1"/>
    <col min="12" max="12" width="10.140625" style="1" bestFit="1" customWidth="1"/>
    <col min="13" max="13" width="11" style="1" bestFit="1" customWidth="1"/>
    <col min="14" max="14" width="9.7109375" style="1" bestFit="1" customWidth="1"/>
    <col min="15" max="18" width="8.5703125" style="1" customWidth="1"/>
    <col min="19" max="19" width="8.5703125" style="1" hidden="1" customWidth="1"/>
    <col min="20" max="16384" width="8.5703125" hidden="1"/>
  </cols>
  <sheetData>
    <row r="1" spans="1:14" ht="30.4" customHeight="1" thickBot="1" x14ac:dyDescent="0.3">
      <c r="A1" s="46"/>
      <c r="B1" s="47" t="s">
        <v>0</v>
      </c>
      <c r="C1" s="48"/>
      <c r="D1" s="48"/>
      <c r="E1" s="48"/>
      <c r="F1" s="49"/>
    </row>
    <row r="2" spans="1:14" ht="15.75" thickBot="1" x14ac:dyDescent="0.3">
      <c r="B2" s="6">
        <v>46289</v>
      </c>
      <c r="C2" s="19" t="s">
        <v>1</v>
      </c>
      <c r="D2" s="4" t="s">
        <v>18</v>
      </c>
      <c r="E2" s="26" t="s">
        <v>19</v>
      </c>
      <c r="F2" s="19" t="s">
        <v>2</v>
      </c>
    </row>
    <row r="3" spans="1:14" ht="15.75" thickBot="1" x14ac:dyDescent="0.3">
      <c r="B3" s="35" t="s">
        <v>3</v>
      </c>
      <c r="C3" s="36" t="s">
        <v>4</v>
      </c>
      <c r="D3" s="37" t="s">
        <v>4</v>
      </c>
      <c r="E3" s="38" t="s">
        <v>4</v>
      </c>
      <c r="F3" s="36" t="s">
        <v>4</v>
      </c>
      <c r="H3" s="2"/>
      <c r="I3" s="2"/>
      <c r="J3" s="32"/>
    </row>
    <row r="4" spans="1:14" ht="15" x14ac:dyDescent="0.25">
      <c r="B4" s="41" t="s">
        <v>5</v>
      </c>
      <c r="C4" s="20">
        <v>96094.232999999993</v>
      </c>
      <c r="D4" s="42">
        <v>2418</v>
      </c>
      <c r="E4" s="43">
        <v>1059.44</v>
      </c>
      <c r="F4" s="20">
        <f>C4+D4-E4-1057.315</f>
        <v>96395.477999999988</v>
      </c>
      <c r="H4" s="32"/>
      <c r="I4" s="32"/>
      <c r="J4" s="32"/>
      <c r="K4" s="32"/>
      <c r="M4" s="32"/>
      <c r="N4" s="2"/>
    </row>
    <row r="5" spans="1:14" ht="15.75" thickBot="1" x14ac:dyDescent="0.3">
      <c r="B5" s="39" t="s">
        <v>6</v>
      </c>
      <c r="C5" s="40">
        <f>SUM(C7:C10)</f>
        <v>3412.5</v>
      </c>
      <c r="D5" s="40">
        <f>SUM(D6:D10)</f>
        <v>1392.5</v>
      </c>
      <c r="E5" s="40">
        <f>SUM(E6:E10)</f>
        <v>2407.62</v>
      </c>
      <c r="F5" s="40">
        <f t="shared" ref="F5" si="0">C5+D5-E5</f>
        <v>2397.38</v>
      </c>
      <c r="H5" s="3"/>
      <c r="J5" s="33"/>
    </row>
    <row r="6" spans="1:14" ht="15" hidden="1" x14ac:dyDescent="0.25">
      <c r="B6" s="29" t="s">
        <v>7</v>
      </c>
      <c r="C6" s="30">
        <v>0</v>
      </c>
      <c r="D6" s="31">
        <v>0</v>
      </c>
      <c r="E6" s="31">
        <v>0</v>
      </c>
      <c r="F6" s="21">
        <f>C6+D6-E6</f>
        <v>0</v>
      </c>
      <c r="I6" s="2"/>
      <c r="J6" s="2"/>
      <c r="K6" s="2"/>
      <c r="M6" s="2"/>
    </row>
    <row r="7" spans="1:14" ht="15" x14ac:dyDescent="0.25">
      <c r="B7" s="8" t="s">
        <v>15</v>
      </c>
      <c r="C7" s="21">
        <v>675.88</v>
      </c>
      <c r="D7" s="15">
        <v>0</v>
      </c>
      <c r="E7" s="31">
        <v>0</v>
      </c>
      <c r="F7" s="21">
        <f t="shared" ref="F7:F10" si="1">C7+D7-E7</f>
        <v>675.88</v>
      </c>
      <c r="H7" s="2"/>
      <c r="I7" s="2"/>
      <c r="M7" s="2"/>
    </row>
    <row r="8" spans="1:14" ht="15" x14ac:dyDescent="0.25">
      <c r="B8" s="8" t="s">
        <v>8</v>
      </c>
      <c r="C8" s="21">
        <v>1197.0999999999999</v>
      </c>
      <c r="D8" s="15">
        <v>1021</v>
      </c>
      <c r="E8" s="31">
        <v>1998.02</v>
      </c>
      <c r="F8" s="21">
        <f t="shared" si="1"/>
        <v>220.07999999999993</v>
      </c>
      <c r="H8" s="2"/>
      <c r="I8" s="32"/>
      <c r="J8" s="2"/>
      <c r="K8" s="2"/>
      <c r="M8" s="2"/>
    </row>
    <row r="9" spans="1:14" ht="15" x14ac:dyDescent="0.25">
      <c r="B9" s="8" t="s">
        <v>9</v>
      </c>
      <c r="C9" s="21">
        <v>172.5</v>
      </c>
      <c r="D9" s="15">
        <v>371.5</v>
      </c>
      <c r="E9" s="15">
        <v>371.5</v>
      </c>
      <c r="F9" s="21">
        <f t="shared" si="1"/>
        <v>172.5</v>
      </c>
      <c r="H9" s="2"/>
      <c r="M9" s="2"/>
    </row>
    <row r="10" spans="1:14" ht="15.75" thickBot="1" x14ac:dyDescent="0.3">
      <c r="B10" s="9" t="s">
        <v>17</v>
      </c>
      <c r="C10" s="22">
        <v>1367.02</v>
      </c>
      <c r="D10" s="16">
        <v>0</v>
      </c>
      <c r="E10" s="16">
        <v>38.1</v>
      </c>
      <c r="F10" s="21">
        <f t="shared" si="1"/>
        <v>1328.92</v>
      </c>
      <c r="H10" s="2"/>
      <c r="K10" s="2"/>
      <c r="M10" s="2"/>
    </row>
    <row r="11" spans="1:14" ht="15.75" thickBot="1" x14ac:dyDescent="0.3">
      <c r="B11" s="10"/>
      <c r="C11" s="19" t="s">
        <v>1</v>
      </c>
      <c r="D11" s="5" t="s">
        <v>16</v>
      </c>
      <c r="E11" s="28" t="s">
        <v>10</v>
      </c>
      <c r="F11" s="23" t="s">
        <v>2</v>
      </c>
    </row>
    <row r="12" spans="1:14" ht="15.75" thickBot="1" x14ac:dyDescent="0.3">
      <c r="B12" s="11" t="s">
        <v>11</v>
      </c>
      <c r="C12" s="19" t="s">
        <v>4</v>
      </c>
      <c r="D12" s="4" t="s">
        <v>4</v>
      </c>
      <c r="E12" s="26" t="s">
        <v>4</v>
      </c>
      <c r="F12" s="19" t="s">
        <v>4</v>
      </c>
    </row>
    <row r="13" spans="1:14" ht="15" x14ac:dyDescent="0.25">
      <c r="B13" s="7" t="s">
        <v>12</v>
      </c>
      <c r="C13" s="20">
        <v>3781.3969999999999</v>
      </c>
      <c r="D13" s="14">
        <v>0</v>
      </c>
      <c r="E13" s="27">
        <v>125.736</v>
      </c>
      <c r="F13" s="20">
        <f>C13+D13-E13</f>
        <v>3655.6610000000001</v>
      </c>
      <c r="H13" s="33"/>
      <c r="I13" s="34"/>
    </row>
    <row r="14" spans="1:14" ht="15" hidden="1" x14ac:dyDescent="0.25">
      <c r="B14" s="12" t="s">
        <v>14</v>
      </c>
      <c r="C14" s="24">
        <v>0</v>
      </c>
      <c r="D14" s="17">
        <v>0</v>
      </c>
      <c r="E14" s="44">
        <v>0</v>
      </c>
      <c r="F14" s="24">
        <f>C14+D14-E14</f>
        <v>0</v>
      </c>
      <c r="H14" s="33"/>
      <c r="I14" s="34"/>
    </row>
    <row r="15" spans="1:14" ht="15.75" thickBot="1" x14ac:dyDescent="0.3">
      <c r="B15" s="13" t="s">
        <v>13</v>
      </c>
      <c r="C15" s="25">
        <v>2823.797</v>
      </c>
      <c r="D15" s="18">
        <v>0</v>
      </c>
      <c r="E15" s="45">
        <v>130.572</v>
      </c>
      <c r="F15" s="25">
        <f>C15+D15-E15</f>
        <v>2693.2249999999999</v>
      </c>
      <c r="H15" s="33"/>
      <c r="I15" s="34"/>
    </row>
    <row r="16" spans="1:14" ht="15" x14ac:dyDescent="0.25">
      <c r="I16" s="34"/>
    </row>
    <row r="17" spans="3:6" ht="14.65" customHeight="1" x14ac:dyDescent="0.25"/>
    <row r="18" spans="3:6" ht="14.65" customHeight="1" x14ac:dyDescent="0.25">
      <c r="C18" s="3"/>
      <c r="F18" s="3"/>
    </row>
    <row r="19" spans="3:6" ht="14.65" customHeight="1" x14ac:dyDescent="0.25">
      <c r="D19" s="3"/>
    </row>
    <row r="20" spans="3:6" ht="14.65" customHeight="1" x14ac:dyDescent="0.25">
      <c r="D20" s="3"/>
    </row>
    <row r="21" spans="3:6" ht="14.65" customHeight="1" x14ac:dyDescent="0.25">
      <c r="D21" s="3"/>
    </row>
    <row r="22" spans="3:6" ht="14.65" customHeight="1" x14ac:dyDescent="0.25">
      <c r="C22" s="3"/>
      <c r="E22" s="2"/>
    </row>
    <row r="23" spans="3:6" ht="14.65" customHeight="1" x14ac:dyDescent="0.25">
      <c r="D23" s="2"/>
      <c r="E23" s="2"/>
    </row>
    <row r="24" spans="3:6" ht="14.65" customHeight="1" x14ac:dyDescent="0.25"/>
    <row r="25" spans="3:6" ht="14.65" customHeight="1" x14ac:dyDescent="0.25">
      <c r="E25" s="2"/>
    </row>
    <row r="26" spans="3:6" ht="14.65" customHeight="1" x14ac:dyDescent="0.25"/>
    <row r="27" spans="3:6" ht="14.65" customHeight="1" x14ac:dyDescent="0.25"/>
    <row r="28" spans="3:6" ht="14.65" customHeight="1" x14ac:dyDescent="0.25"/>
    <row r="29" spans="3:6" ht="14.65" customHeight="1" x14ac:dyDescent="0.25"/>
    <row r="30" spans="3:6" ht="14.65" customHeight="1" x14ac:dyDescent="0.25"/>
    <row r="31" spans="3:6" ht="14.65" customHeight="1" x14ac:dyDescent="0.25"/>
    <row r="32" spans="3:6" ht="14.65" customHeight="1" x14ac:dyDescent="0.25"/>
    <row r="33" ht="14.65" customHeight="1" x14ac:dyDescent="0.25"/>
    <row r="34" ht="14.65" customHeight="1" x14ac:dyDescent="0.25"/>
    <row r="35" ht="14.65" customHeight="1" x14ac:dyDescent="0.25"/>
    <row r="36" ht="14.65" customHeight="1" x14ac:dyDescent="0.25"/>
    <row r="37" ht="14.65" customHeight="1" x14ac:dyDescent="0.25"/>
    <row r="38" ht="14.65" customHeight="1" x14ac:dyDescent="0.25"/>
    <row r="39" ht="14.65" customHeight="1" x14ac:dyDescent="0.25"/>
    <row r="40" ht="14.65" customHeight="1" x14ac:dyDescent="0.25"/>
    <row r="41" ht="14.65" customHeight="1" x14ac:dyDescent="0.25"/>
    <row r="42" ht="14.65" customHeight="1" x14ac:dyDescent="0.25"/>
    <row r="43" ht="14.65" customHeight="1" x14ac:dyDescent="0.25"/>
    <row r="44" ht="14.65" customHeight="1" x14ac:dyDescent="0.25"/>
    <row r="45" ht="14.65" customHeight="1" x14ac:dyDescent="0.25"/>
    <row r="46" ht="14.65" customHeight="1" x14ac:dyDescent="0.25"/>
    <row r="47" ht="14.65" customHeight="1" x14ac:dyDescent="0.25"/>
    <row r="48" ht="14.65" customHeight="1" x14ac:dyDescent="0.25"/>
    <row r="49" ht="14.65" customHeight="1" x14ac:dyDescent="0.25"/>
    <row r="50" ht="14.65" customHeight="1" x14ac:dyDescent="0.25"/>
    <row r="51" ht="14.65" customHeight="1" x14ac:dyDescent="0.25"/>
    <row r="52" ht="14.65" customHeight="1" x14ac:dyDescent="0.25"/>
    <row r="53" ht="14.65" customHeight="1" x14ac:dyDescent="0.25"/>
    <row r="54" ht="14.65" customHeight="1" x14ac:dyDescent="0.25"/>
    <row r="55" ht="14.65" customHeight="1" x14ac:dyDescent="0.25"/>
    <row r="56" ht="14.65" customHeight="1" x14ac:dyDescent="0.25"/>
    <row r="57" ht="14.65" customHeight="1" x14ac:dyDescent="0.25"/>
    <row r="58" ht="14.65" customHeight="1" x14ac:dyDescent="0.25"/>
    <row r="59" ht="14.65" customHeight="1" x14ac:dyDescent="0.25"/>
    <row r="60" ht="14.65" customHeight="1" x14ac:dyDescent="0.25"/>
    <row r="61" ht="14.65" customHeight="1" x14ac:dyDescent="0.25"/>
    <row r="62" ht="14.65" customHeight="1" x14ac:dyDescent="0.25"/>
    <row r="63" ht="14.65" customHeight="1" x14ac:dyDescent="0.25"/>
    <row r="64" ht="14.65" customHeight="1" x14ac:dyDescent="0.25"/>
    <row r="65" ht="14.65" customHeight="1" x14ac:dyDescent="0.25"/>
    <row r="66" ht="14.65" customHeight="1" x14ac:dyDescent="0.25"/>
    <row r="67" ht="14.65" customHeight="1" x14ac:dyDescent="0.25"/>
    <row r="68" ht="14.65" customHeight="1" x14ac:dyDescent="0.25"/>
    <row r="69" ht="14.65" customHeight="1" x14ac:dyDescent="0.25"/>
    <row r="70" ht="14.65" customHeight="1" x14ac:dyDescent="0.25"/>
    <row r="71" ht="14.65" customHeight="1" x14ac:dyDescent="0.25"/>
    <row r="72" ht="14.65" customHeight="1" x14ac:dyDescent="0.25"/>
    <row r="73" ht="14.65" customHeight="1" x14ac:dyDescent="0.25"/>
    <row r="74" ht="14.65" customHeight="1" x14ac:dyDescent="0.25"/>
    <row r="75" ht="14.65" customHeight="1" x14ac:dyDescent="0.25"/>
    <row r="76" ht="14.65" customHeight="1" x14ac:dyDescent="0.25"/>
    <row r="77" ht="14.65" customHeight="1" x14ac:dyDescent="0.25"/>
    <row r="78" ht="14.65" customHeight="1" x14ac:dyDescent="0.25"/>
    <row r="79" ht="14.65" customHeight="1" x14ac:dyDescent="0.25"/>
    <row r="80" ht="14.65" customHeight="1" x14ac:dyDescent="0.25"/>
    <row r="81" ht="14.65" customHeight="1" x14ac:dyDescent="0.25"/>
    <row r="82" ht="14.65" customHeight="1" x14ac:dyDescent="0.25"/>
    <row r="83" ht="14.65" customHeight="1" x14ac:dyDescent="0.25"/>
    <row r="84" ht="14.65" customHeight="1" x14ac:dyDescent="0.25"/>
    <row r="85" ht="14.65" customHeight="1" x14ac:dyDescent="0.25"/>
    <row r="86" ht="14.65" customHeight="1" x14ac:dyDescent="0.25"/>
    <row r="87" ht="14.65" customHeight="1" x14ac:dyDescent="0.25"/>
    <row r="88" ht="14.65" customHeight="1" x14ac:dyDescent="0.25"/>
    <row r="89" ht="14.65" customHeight="1" x14ac:dyDescent="0.25"/>
    <row r="90" ht="14.65" customHeight="1" x14ac:dyDescent="0.25"/>
    <row r="91" ht="14.65" customHeight="1" x14ac:dyDescent="0.25"/>
    <row r="92" ht="14.65" customHeight="1" x14ac:dyDescent="0.25"/>
    <row r="93" ht="14.65" customHeight="1" x14ac:dyDescent="0.25"/>
    <row r="94" ht="14.65" customHeight="1" x14ac:dyDescent="0.25"/>
    <row r="95" ht="14.65" customHeight="1" x14ac:dyDescent="0.25"/>
    <row r="96" ht="14.65" customHeight="1" x14ac:dyDescent="0.25"/>
    <row r="97" ht="14.65" customHeight="1" x14ac:dyDescent="0.25"/>
    <row r="98" ht="14.65" customHeight="1" x14ac:dyDescent="0.25"/>
    <row r="99" ht="14.65" customHeight="1" x14ac:dyDescent="0.25"/>
  </sheetData>
  <mergeCells count="1">
    <mergeCell ref="B1:F1"/>
  </mergeCells>
  <pageMargins left="0.7" right="0.7" top="0.75" bottom="0.75" header="0.3" footer="0.3"/>
  <pageSetup paperSize="9" scale="93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64e8a6-4aab-43dc-8313-3606554b5de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33040F16E552354181F05493A8D9C754" ma:contentTypeVersion="7" ma:contentTypeDescription="Yeni belge oluşturun." ma:contentTypeScope="" ma:versionID="e5189be2191c6cea6c8b2555da271367">
  <xsd:schema xmlns:xsd="http://www.w3.org/2001/XMLSchema" xmlns:xs="http://www.w3.org/2001/XMLSchema" xmlns:p="http://schemas.microsoft.com/office/2006/metadata/properties" xmlns:ns3="f164e8a6-4aab-43dc-8313-3606554b5de0" xmlns:ns4="0c95da91-3eea-4cca-b013-56eea5b37a19" targetNamespace="http://schemas.microsoft.com/office/2006/metadata/properties" ma:root="true" ma:fieldsID="e778db88d4da13c826f2d034365b80d8" ns3:_="" ns4:_="">
    <xsd:import namespace="f164e8a6-4aab-43dc-8313-3606554b5de0"/>
    <xsd:import namespace="0c95da91-3eea-4cca-b013-56eea5b37a1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4e8a6-4aab-43dc-8313-3606554b5d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5da91-3eea-4cca-b013-56eea5b37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C18FD3-2C13-4052-84B3-A26ACBCA1E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5C87A4-99E2-4BCC-920A-9C7F926B9FBE}">
  <ds:schemaRefs>
    <ds:schemaRef ds:uri="http://schemas.microsoft.com/office/2006/metadata/properties"/>
    <ds:schemaRef ds:uri="http://www.w3.org/2000/xmlns/"/>
    <ds:schemaRef ds:uri="f164e8a6-4aab-43dc-8313-3606554b5de0"/>
    <ds:schemaRef ds:uri="http://www.w3.org/2001/XMLSchema-instan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E7C1AEA-1437-450B-B02E-870F008C751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164e8a6-4aab-43dc-8313-3606554b5de0"/>
    <ds:schemaRef ds:uri="0c95da91-3eea-4cca-b013-56eea5b37a1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 Timuçin HABALI</dc:creator>
  <cp:lastModifiedBy>Osman Ozan Yagiz</cp:lastModifiedBy>
  <cp:lastPrinted>2022-08-05T08:56:37Z</cp:lastPrinted>
  <dcterms:created xsi:type="dcterms:W3CDTF">2015-06-05T18:19:34Z</dcterms:created>
  <dcterms:modified xsi:type="dcterms:W3CDTF">2026-09-25T07:16:22Z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184fb2-386a-4647-9f82-bc098daf8ccf_Enabled">
    <vt:lpwstr>true</vt:lpwstr>
  </property>
  <property fmtid="{D5CDD505-2E9C-101B-9397-08002B2CF9AE}" pid="3" name="MSIP_Label_43184fb2-386a-4647-9f82-bc098daf8ccf_SetDate">
    <vt:lpwstr>2022-08-05T08:51:38Z</vt:lpwstr>
  </property>
  <property fmtid="{D5CDD505-2E9C-101B-9397-08002B2CF9AE}" pid="4" name="MSIP_Label_43184fb2-386a-4647-9f82-bc098daf8ccf_Method">
    <vt:lpwstr>Privileged</vt:lpwstr>
  </property>
  <property fmtid="{D5CDD505-2E9C-101B-9397-08002B2CF9AE}" pid="5" name="MSIP_Label_43184fb2-386a-4647-9f82-bc098daf8ccf_Name">
    <vt:lpwstr>Halka Açık -Public</vt:lpwstr>
  </property>
  <property fmtid="{D5CDD505-2E9C-101B-9397-08002B2CF9AE}" pid="6" name="MSIP_Label_43184fb2-386a-4647-9f82-bc098daf8ccf_SiteId">
    <vt:lpwstr>0963c99c-9e0a-451d-977b-ba1e1cf94564</vt:lpwstr>
  </property>
  <property fmtid="{D5CDD505-2E9C-101B-9397-08002B2CF9AE}" pid="7" name="MSIP_Label_43184fb2-386a-4647-9f82-bc098daf8ccf_ActionId">
    <vt:lpwstr>38b760ea-a17f-4faa-bcc5-82ace0567832</vt:lpwstr>
  </property>
  <property fmtid="{D5CDD505-2E9C-101B-9397-08002B2CF9AE}" pid="8" name="MSIP_Label_43184fb2-386a-4647-9f82-bc098daf8ccf_ContentBits">
    <vt:lpwstr>0</vt:lpwstr>
  </property>
  <property fmtid="{D5CDD505-2E9C-101B-9397-08002B2CF9AE}" pid="9" name="ContentTypeId">
    <vt:lpwstr>0x01010033040F16E552354181F05493A8D9C754</vt:lpwstr>
  </property>
</Properties>
</file>